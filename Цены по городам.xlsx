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Кирилл\Desktop\Портфолио\"/>
    </mc:Choice>
  </mc:AlternateContent>
  <xr:revisionPtr revIDLastSave="0" documentId="13_ncr:1_{479487B5-8A66-4CFB-A193-ABE3078148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Исходные данные" sheetId="1" r:id="rId1"/>
    <sheet name="Задача" sheetId="8" r:id="rId2"/>
    <sheet name="СВОД" sheetId="2" r:id="rId3"/>
    <sheet name="Изменения цен по товарам" sheetId="7" r:id="rId4"/>
    <sheet name="Работа с данными" sheetId="5" state="hidden" r:id="rId5"/>
    <sheet name="Региональные цены" sheetId="3" r:id="rId6"/>
    <sheet name="ГородскиеЦены" sheetId="6" r:id="rId7"/>
  </sheets>
  <definedNames>
    <definedName name="ExternalData_1" localSheetId="6" hidden="1">ГородскиеЦены!$A$1:$G$5</definedName>
    <definedName name="ExternalData_1" localSheetId="5" hidden="1">'Региональные цены'!$B$3:$D$23</definedName>
    <definedName name="Срез_Имя_товара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2" l="1"/>
  <c r="O7" i="2"/>
  <c r="K7" i="2"/>
  <c r="L7" i="2"/>
  <c r="Q7" i="2" s="1"/>
  <c r="M7" i="2"/>
  <c r="R7" i="2" s="1"/>
  <c r="N7" i="2"/>
  <c r="S7" i="2" s="1"/>
  <c r="K8" i="2"/>
  <c r="L8" i="2"/>
  <c r="M8" i="2"/>
  <c r="N8" i="2"/>
  <c r="S8" i="2" s="1"/>
  <c r="K9" i="2"/>
  <c r="P9" i="2" s="1"/>
  <c r="L9" i="2"/>
  <c r="Q9" i="2" s="1"/>
  <c r="M9" i="2"/>
  <c r="R9" i="2" s="1"/>
  <c r="N9" i="2"/>
  <c r="S9" i="2" s="1"/>
  <c r="K10" i="2"/>
  <c r="L10" i="2"/>
  <c r="M10" i="2"/>
  <c r="N10" i="2"/>
  <c r="J8" i="2"/>
  <c r="J9" i="2"/>
  <c r="J10" i="2"/>
  <c r="O8" i="2"/>
  <c r="P8" i="2"/>
  <c r="Q8" i="2"/>
  <c r="R8" i="2"/>
  <c r="O9" i="2"/>
  <c r="O10" i="2"/>
  <c r="P10" i="2"/>
  <c r="Q10" i="2"/>
  <c r="R10" i="2"/>
  <c r="S10" i="2"/>
  <c r="P7" i="2"/>
  <c r="H9" i="2"/>
  <c r="E8" i="2"/>
  <c r="F8" i="2"/>
  <c r="G8" i="2"/>
  <c r="H8" i="2"/>
  <c r="I8" i="2"/>
  <c r="E9" i="2"/>
  <c r="F9" i="2"/>
  <c r="G9" i="2"/>
  <c r="I9" i="2"/>
  <c r="E10" i="2"/>
  <c r="F10" i="2"/>
  <c r="G10" i="2"/>
  <c r="H10" i="2"/>
  <c r="I10" i="2"/>
  <c r="F7" i="2"/>
  <c r="G7" i="2"/>
  <c r="H7" i="2"/>
  <c r="I7" i="2"/>
  <c r="E7" i="2"/>
  <c r="F4" i="2"/>
  <c r="G4" i="2"/>
  <c r="H4" i="2"/>
  <c r="I4" i="2"/>
  <c r="E4" i="2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D8" i="2"/>
  <c r="D9" i="2"/>
  <c r="D10" i="2"/>
  <c r="D7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Кирилл</author>
  </authors>
  <commentList>
    <comment ref="E4" authorId="0" shapeId="0" xr:uid="{59F834BE-BFCE-43C1-8605-349799162DBE}">
      <text>
        <r>
          <rPr>
            <b/>
            <sz val="9"/>
            <color indexed="81"/>
            <rFont val="Tahoma"/>
            <family val="2"/>
            <charset val="204"/>
          </rPr>
          <t>Примечание 1</t>
        </r>
        <r>
          <rPr>
            <sz val="9"/>
            <color indexed="81"/>
            <rFont val="Tahoma"/>
            <family val="2"/>
            <charset val="204"/>
          </rPr>
          <t xml:space="preserve">
Формула ПОИСКПОЗ - возвращает номер столбца с ценой на нужный город из таблицы с городскими ценами
Далее, полученное значение используется в </t>
        </r>
        <r>
          <rPr>
            <b/>
            <sz val="9"/>
            <color indexed="81"/>
            <rFont val="Tahoma"/>
            <family val="2"/>
            <charset val="204"/>
          </rPr>
          <t>примечании 2</t>
        </r>
      </text>
    </comment>
    <comment ref="E7" authorId="0" shapeId="0" xr:uid="{765B8F83-952C-4F9C-858C-CA4F3AB133C9}">
      <text>
        <r>
          <rPr>
            <b/>
            <sz val="9"/>
            <color indexed="81"/>
            <rFont val="Tahoma"/>
            <family val="2"/>
            <charset val="204"/>
          </rPr>
          <t>Примечание 2</t>
        </r>
        <r>
          <rPr>
            <sz val="9"/>
            <color indexed="81"/>
            <rFont val="Tahoma"/>
            <family val="2"/>
            <charset val="204"/>
          </rPr>
          <t xml:space="preserve">
Функция если со вложенными ВПР
Если цена города не нулевая - формула возвращает значение цены на город
Если цена на город = 0
Формула возвращает региональную цену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Кирилл</author>
  </authors>
  <commentList>
    <comment ref="F6" authorId="0" shapeId="0" xr:uid="{94737334-2D51-492B-9AD6-A43692468FC4}">
      <text>
        <r>
          <rPr>
            <b/>
            <sz val="9"/>
            <color indexed="81"/>
            <rFont val="Tahoma"/>
            <family val="2"/>
            <charset val="204"/>
          </rPr>
          <t xml:space="preserve">Примечание
</t>
        </r>
        <r>
          <rPr>
            <sz val="9"/>
            <color indexed="81"/>
            <rFont val="Tahoma"/>
            <family val="2"/>
            <charset val="204"/>
          </rPr>
          <t>Условным форматированием выделены товары и города, на которые закупочная цена возрастает сильнее всего</t>
        </r>
      </text>
    </comment>
    <comment ref="C10" authorId="0" shapeId="0" xr:uid="{CC0A4901-80CC-41F6-B212-BF6591BD4885}">
      <text>
        <r>
          <rPr>
            <b/>
            <sz val="9"/>
            <color indexed="81"/>
            <rFont val="Tahoma"/>
            <family val="2"/>
            <charset val="204"/>
          </rPr>
          <t xml:space="preserve">Мини-Дашборд
</t>
        </r>
        <r>
          <rPr>
            <sz val="9"/>
            <color indexed="81"/>
            <rFont val="Tahoma"/>
            <family val="2"/>
            <charset val="204"/>
          </rPr>
          <t xml:space="preserve">Для удобства пользователь может выбрать требуемый товар и отследить изменение цен по городам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Кирилл</author>
  </authors>
  <commentList>
    <comment ref="A1" authorId="0" shapeId="0" xr:uid="{A0E7D25F-F75F-4CF5-BE22-2A0936A51CE0}">
      <text>
        <r>
          <rPr>
            <b/>
            <sz val="9"/>
            <color indexed="81"/>
            <rFont val="Tahoma"/>
            <family val="2"/>
            <charset val="204"/>
          </rPr>
          <t xml:space="preserve">Примечание
</t>
        </r>
        <r>
          <rPr>
            <sz val="9"/>
            <color indexed="81"/>
            <rFont val="Tahoma"/>
            <family val="2"/>
            <charset val="204"/>
          </rPr>
          <t xml:space="preserve">С помощью Power Query исходная база данных приведена в вид, удобный для дальнейшей обработки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170B36-62AE-49E6-832D-C94976561C77}" keepAlive="1" name="Запрос — ГородскиеЦены" description="Соединение с запросом &quot;ГородскиеЦены&quot; в книге." type="5" refreshedVersion="7" background="1" saveData="1">
    <dbPr connection="Provider=Microsoft.Mashup.OleDb.1;Data Source=$Workbook$;Location=ГородскиеЦены;Extended Properties=&quot;&quot;" command="SELECT * FROM [ГородскиеЦены]"/>
  </connection>
  <connection id="2" xr16:uid="{A84CF9B5-DE64-45C6-AFED-9230674B5DCD}" keepAlive="1" name="Запрос — ИсходныеДанные" description="Соединение с запросом &quot;ИсходныеДанные&quot; в книге." type="5" refreshedVersion="7" background="1" saveData="1">
    <dbPr connection="Provider=Microsoft.Mashup.OleDb.1;Data Source=$Workbook$;Location=ИсходныеДанные;Extended Properties=&quot;&quot;" command="SELECT * FROM [ИсходныеДанные]"/>
  </connection>
</connections>
</file>

<file path=xl/sharedStrings.xml><?xml version="1.0" encoding="utf-8"?>
<sst xmlns="http://schemas.openxmlformats.org/spreadsheetml/2006/main" count="193" uniqueCount="44">
  <si>
    <t>Товар 1</t>
  </si>
  <si>
    <t>Артикул товара</t>
  </si>
  <si>
    <t>Имя товара</t>
  </si>
  <si>
    <t>Город</t>
  </si>
  <si>
    <t>Цена на РЦ, руб</t>
  </si>
  <si>
    <t>Цена на прямую поставку, регион Сибирь, руб</t>
  </si>
  <si>
    <t>Цена на прямую поставку, город, руб</t>
  </si>
  <si>
    <t>Новосибирск</t>
  </si>
  <si>
    <t>Курган</t>
  </si>
  <si>
    <t>Сургут</t>
  </si>
  <si>
    <t>Тобольск</t>
  </si>
  <si>
    <t>Тюмень</t>
  </si>
  <si>
    <t>Товар 2</t>
  </si>
  <si>
    <t>Товар 3</t>
  </si>
  <si>
    <t>Товар 4</t>
  </si>
  <si>
    <t>Артикул</t>
  </si>
  <si>
    <t>Цена до РЦ</t>
  </si>
  <si>
    <t>Старая цена прямой поставки</t>
  </si>
  <si>
    <t>Новая цена прямой поставки</t>
  </si>
  <si>
    <t>Цена РЦ + Х%. Х =…</t>
  </si>
  <si>
    <t>Номер столбца для ВПР</t>
  </si>
  <si>
    <t>% изменения цены на прямую поставку</t>
  </si>
  <si>
    <t>Кейс</t>
  </si>
  <si>
    <t>На листе "Исходные данные" представлен перечень товаров - выгрузка из базы данных</t>
  </si>
  <si>
    <t>Каждый товар имеет цену до РЦ</t>
  </si>
  <si>
    <t>Каждый товар имеет региональную цену прямой поставки</t>
  </si>
  <si>
    <t>Некоторые цены имеют городскую цену прямой поставки</t>
  </si>
  <si>
    <t>Поставщик товаров имеет сложную логистику - в ряд городов поставляет ассортимент через РЦ</t>
  </si>
  <si>
    <t>Но в Новосибирск, Курган, Сургут, Тобольск и Тюмень - поставки - прямые</t>
  </si>
  <si>
    <t>Требуется:</t>
  </si>
  <si>
    <t>Установить корректную цену на города, согласно договорённостям с поставщиком</t>
  </si>
  <si>
    <t>Договоренности:</t>
  </si>
  <si>
    <t>Актуальная городская цена для прямой поставки:</t>
  </si>
  <si>
    <t>Цена до РЦ, +4%</t>
  </si>
  <si>
    <t>Цена до РЦ, +12%</t>
  </si>
  <si>
    <t>Цена до РЦ, +9%</t>
  </si>
  <si>
    <t>Цена до РЦ, +8%</t>
  </si>
  <si>
    <t>Цена до РЦ, +2%</t>
  </si>
  <si>
    <t>Примечание:</t>
  </si>
  <si>
    <t>Сейчас на ассортимент действуют цены прямых поставок:</t>
  </si>
  <si>
    <t>Городская цена, если она установлена</t>
  </si>
  <si>
    <t>Региональная цена, если городская - не установлена (равна нулю)</t>
  </si>
  <si>
    <t>Задача</t>
  </si>
  <si>
    <t>Посчитать верные городские цены на прямые поставки, согласно договоренностям с поставщиком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</si>
</sst>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NumberFormat="1"/>
    <xf numFmtId="2" fontId="0" fillId="3" borderId="1" xfId="0" applyNumberForma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/>
    </xf>
    <xf numFmtId="10" fontId="7" fillId="0" borderId="2" xfId="1" applyNumberFormat="1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10" fontId="7" fillId="0" borderId="9" xfId="1" applyNumberFormat="1" applyFont="1" applyBorder="1" applyAlignment="1">
      <alignment horizontal="center" vertical="center"/>
    </xf>
    <xf numFmtId="10" fontId="7" fillId="0" borderId="10" xfId="1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0" fillId="0" borderId="13" xfId="0" applyFill="1" applyBorder="1" applyAlignment="1">
      <alignment horizontal="left"/>
    </xf>
    <xf numFmtId="0" fontId="0" fillId="0" borderId="14" xfId="0" applyBorder="1"/>
    <xf numFmtId="0" fontId="0" fillId="0" borderId="15" xfId="0" applyFill="1" applyBorder="1" applyAlignment="1">
      <alignment horizontal="left"/>
    </xf>
    <xf numFmtId="0" fontId="0" fillId="0" borderId="16" xfId="0" applyBorder="1"/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10" fontId="0" fillId="4" borderId="1" xfId="1" applyNumberFormat="1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434340</xdr:colOff>
      <xdr:row>8</xdr:row>
      <xdr:rowOff>167641</xdr:rowOff>
    </xdr:from>
    <xdr:to>
      <xdr:col>3</xdr:col>
      <xdr:colOff>60960</xdr:colOff>
      <xdr:row>16</xdr:row>
      <xdr:rowOff>175261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" name="Имя товара">
              <a:extLst>
                <a:ext uri="{FF2B5EF4-FFF2-40B4-BE49-F238E27FC236}">
                  <a16:creationId xmlns:a16="http://schemas.microsoft.com/office/drawing/2014/main" id="{412FAB13-8253-4C1A-AED9-D0E603458B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Имя товар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" y="1630681"/>
              <a:ext cx="1828800" cy="147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333B8A-88FA-4947-905A-2082264C83ED}" autoFormatId="16" applyNumberFormats="0" applyBorderFormats="0" applyFontFormats="0" applyPatternFormats="0" applyAlignmentFormats="0" applyWidthHeightFormats="0">
  <queryTableRefresh nextId="4">
    <queryTableFields count="3">
      <queryTableField id="1" name="Артикул товара" tableColumnId="1"/>
      <queryTableField id="2" name="Имя товара" tableColumnId="2"/>
      <queryTableField id="3" name="Цена на прямую поставку, регион Сибирь, руб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858B09-A738-482B-A93D-75B7BF104F2B}" autoFormatId="16" applyNumberFormats="0" applyBorderFormats="0" applyFontFormats="0" applyPatternFormats="0" applyAlignmentFormats="0" applyWidthHeightFormats="0">
  <queryTableRefresh nextId="8">
    <queryTableFields count="7">
      <queryTableField id="1" name="Артикул товара" tableColumnId="1"/>
      <queryTableField id="2" name="Имя товара" tableColumnId="2"/>
      <queryTableField id="3" name="Новосибирск" tableColumnId="3"/>
      <queryTableField id="4" name="Курган" tableColumnId="4"/>
      <queryTableField id="5" name="Сургут" tableColumnId="5"/>
      <queryTableField id="6" name="Тобольск" tableColumnId="6"/>
      <queryTableField id="7" name="Тюмень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Имя_товара" xr10:uid="{EC943C91-1E7E-4521-97AC-7812AB6D77E5}" sourceName="Имя товара">
  <extLst>
    <x:ext xmlns:x15="http://schemas.microsoft.com/office/spreadsheetml/2010/11/main" uri="{2F2917AC-EB37-4324-AD4E-5DD8C200BD13}">
      <x15:tableSlicerCache tableId="5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Имя товара" xr10:uid="{0CEEA75D-3A1C-4F9C-9D37-EA8F4411CDB5}" cache="Срез_Имя_товара" caption="Имя товара" style="SlicerStyleLight4" rowHeight="23495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F0E4F0-3E7A-4A1A-A344-1B0C9F818AFB}" name="ПроцИзменения" displayName="ПроцИзменения" ref="B3:H7" totalsRowShown="0" headerRowDxfId="1" dataDxfId="0" headerRowBorderDxfId="10" tableBorderDxfId="11" totalsRowBorderDxfId="9" dataCellStyle="Процентный">
  <autoFilter ref="B3:H7" xr:uid="{78F0E4F0-3E7A-4A1A-A344-1B0C9F818AFB}"/>
  <tableColumns count="7">
    <tableColumn id="1" xr3:uid="{D6E3DEE6-8D1D-4D52-807F-A90E97730318}" name="Артикул" dataDxfId="8"/>
    <tableColumn id="2" xr3:uid="{2D793BCD-7FA3-4003-BFF3-A57C2A282150}" name="Имя товара" dataDxfId="7"/>
    <tableColumn id="3" xr3:uid="{7136FAF8-BCB6-4A66-A2B7-E6F9C3219037}" name="Новосибирск" dataDxfId="6" dataCellStyle="Процентный"/>
    <tableColumn id="4" xr3:uid="{0DFD4C14-9FD2-499C-8BC4-FEF73C659B67}" name="Курган" dataDxfId="5" dataCellStyle="Процентный"/>
    <tableColumn id="5" xr3:uid="{FE788556-AEEA-4276-89A8-33DA0790B4E6}" name="Сургут" dataDxfId="4" dataCellStyle="Процентный"/>
    <tableColumn id="6" xr3:uid="{1F1ABC23-A439-48A0-B1BF-29636ECFCFC2}" name="Тобольск" dataDxfId="3" dataCellStyle="Процентный"/>
    <tableColumn id="7" xr3:uid="{5597965D-7C04-4DD9-9BC9-51398AE675FC}" name="Тюмень" dataDxfId="2" dataCellStyle="Процентны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F3026-F646-4F6A-97CA-DFA9B517040B}" name="ИсходныеДанные" displayName="ИсходныеДанные" ref="C3:H23" totalsRowShown="0" headerRowDxfId="14" dataDxfId="15">
  <autoFilter ref="C3:H23" xr:uid="{9C7F3026-F646-4F6A-97CA-DFA9B517040B}"/>
  <tableColumns count="6">
    <tableColumn id="1" xr3:uid="{7B853909-2118-4DEE-87AB-2C3B3AB22171}" name="Артикул товара" dataDxfId="21"/>
    <tableColumn id="2" xr3:uid="{EB16C70A-3CD0-406C-8693-DD5DF5555A54}" name="Имя товара" dataDxfId="20"/>
    <tableColumn id="3" xr3:uid="{75C985BD-6C5E-44E9-AD45-39EE8E6538AB}" name="Цена на РЦ, руб" dataDxfId="19"/>
    <tableColumn id="4" xr3:uid="{2690DEF3-BA42-4E9E-B35C-BA56EBBF9C30}" name="Цена на прямую поставку, регион Сибирь, руб" dataDxfId="18">
      <calculatedColumnFormula>E4*1.04</calculatedColumnFormula>
    </tableColumn>
    <tableColumn id="5" xr3:uid="{90B4C206-AE4B-4508-A5AE-FDF70C715B6E}" name="Цена на прямую поставку, город, руб" dataDxfId="17"/>
    <tableColumn id="6" xr3:uid="{ADE2FB96-C5A7-40D3-BE16-BC62DF9A9BC8}" name="Город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3C340E-DB3B-4917-B273-59F96E1AFABC}" name="РегиональныеЦены" displayName="РегиональныеЦены" ref="B3:D23" tableType="queryTable" totalsRowShown="0">
  <autoFilter ref="B3:D23" xr:uid="{813C340E-DB3B-4917-B273-59F96E1AFABC}"/>
  <tableColumns count="3">
    <tableColumn id="1" xr3:uid="{A32A5C1A-1AF7-4892-8ED4-A77414303CA6}" uniqueName="1" name="Артикул товара" queryTableFieldId="1"/>
    <tableColumn id="2" xr3:uid="{2AE93DF0-B2A5-4609-9DFD-C2761E7DFB08}" uniqueName="2" name="Имя товара" queryTableFieldId="2" dataDxfId="13"/>
    <tableColumn id="3" xr3:uid="{32A92C9A-5C92-4C61-80BC-EDF07E2ACDC8}" uniqueName="3" name="Цена на прямую поставку, регион Сибирь, руб" queryTableFieldId="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DC75DA-1D99-41DD-8652-4D19A855FCA4}" name="ГородскиеЦены_2" displayName="ГородскиеЦены_2" ref="A1:G5" tableType="queryTable" totalsRowShown="0">
  <autoFilter ref="A1:G5" xr:uid="{6CDC75DA-1D99-41DD-8652-4D19A855FCA4}"/>
  <tableColumns count="7">
    <tableColumn id="1" xr3:uid="{DF8EF47B-E5B3-438D-A099-48E32A4D5658}" uniqueName="1" name="Артикул товара" queryTableFieldId="1"/>
    <tableColumn id="2" xr3:uid="{4E1B6332-EB4C-45C0-9FA8-3DFEDABE3988}" uniqueName="2" name="Имя товара" queryTableFieldId="2" dataDxfId="12"/>
    <tableColumn id="3" xr3:uid="{183726CF-B589-4F96-B015-153152ABE92C}" uniqueName="3" name="Новосибирск" queryTableFieldId="3"/>
    <tableColumn id="4" xr3:uid="{96D7F5E0-6265-497A-BD68-EACA0B2F081C}" uniqueName="4" name="Курган" queryTableFieldId="4"/>
    <tableColumn id="5" xr3:uid="{99416B93-FBE9-4E26-8571-ED0F0FDA7E9E}" uniqueName="5" name="Сургут" queryTableFieldId="5"/>
    <tableColumn id="6" xr3:uid="{0191074D-EB51-40AE-B288-F22C5E93743D}" uniqueName="6" name="Тобольск" queryTableFieldId="6"/>
    <tableColumn id="7" xr3:uid="{E4739FF4-D06A-48C3-84DA-8BC96916AED5}" uniqueName="7" name="Тюмень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openxmlformats.org/officeDocument/2006/relationships/comments" Target="../comments2.xml"/><Relationship Id="rId4" Type="http://schemas.microsoft.com/office/2007/relationships/slicer" Target="../slicers/slicer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3"/>
  <sheetViews>
    <sheetView workbookViewId="0">
      <selection activeCell="D20" sqref="D20"/>
    </sheetView>
  </sheetViews>
  <sheetFormatPr defaultRowHeight="14.4" x14ac:dyDescent="0.3"/>
  <cols>
    <col min="2" max="2" width="14.21875" bestFit="1" customWidth="1"/>
    <col min="3" max="3" width="11" bestFit="1" customWidth="1"/>
    <col min="4" max="4" width="21.5546875" bestFit="1" customWidth="1"/>
    <col min="5" max="5" width="43.21875" bestFit="1" customWidth="1"/>
    <col min="6" max="6" width="35" bestFit="1" customWidth="1"/>
    <col min="7" max="7" width="16.6640625" customWidth="1"/>
  </cols>
  <sheetData>
    <row r="3" spans="2:7" x14ac:dyDescent="0.3">
      <c r="B3" s="2" t="s">
        <v>1</v>
      </c>
      <c r="C3" s="2" t="s">
        <v>2</v>
      </c>
      <c r="D3" s="2" t="s">
        <v>4</v>
      </c>
      <c r="E3" s="2" t="s">
        <v>5</v>
      </c>
      <c r="F3" s="2" t="s">
        <v>6</v>
      </c>
      <c r="G3" s="2" t="s">
        <v>3</v>
      </c>
    </row>
    <row r="4" spans="2:7" x14ac:dyDescent="0.3">
      <c r="B4" s="1">
        <v>627395</v>
      </c>
      <c r="C4" s="1" t="s">
        <v>0</v>
      </c>
      <c r="D4" s="1">
        <v>93</v>
      </c>
      <c r="E4" s="1">
        <f>D4*1.04</f>
        <v>96.72</v>
      </c>
      <c r="F4" s="1">
        <v>0</v>
      </c>
      <c r="G4" s="1" t="s">
        <v>7</v>
      </c>
    </row>
    <row r="5" spans="2:7" x14ac:dyDescent="0.3">
      <c r="B5" s="1">
        <v>627395</v>
      </c>
      <c r="C5" s="1" t="s">
        <v>0</v>
      </c>
      <c r="D5" s="1">
        <v>93</v>
      </c>
      <c r="E5" s="1">
        <f t="shared" ref="E5:E23" si="0">D5*1.04</f>
        <v>96.72</v>
      </c>
      <c r="F5" s="1">
        <v>0</v>
      </c>
      <c r="G5" s="1" t="s">
        <v>8</v>
      </c>
    </row>
    <row r="6" spans="2:7" x14ac:dyDescent="0.3">
      <c r="B6" s="1">
        <v>627395</v>
      </c>
      <c r="C6" s="1" t="s">
        <v>0</v>
      </c>
      <c r="D6" s="1">
        <v>93</v>
      </c>
      <c r="E6" s="1">
        <f t="shared" si="0"/>
        <v>96.72</v>
      </c>
      <c r="F6" s="1">
        <v>129</v>
      </c>
      <c r="G6" s="1" t="s">
        <v>9</v>
      </c>
    </row>
    <row r="7" spans="2:7" x14ac:dyDescent="0.3">
      <c r="B7" s="1">
        <v>627395</v>
      </c>
      <c r="C7" s="1" t="s">
        <v>0</v>
      </c>
      <c r="D7" s="1">
        <v>93</v>
      </c>
      <c r="E7" s="1">
        <f t="shared" si="0"/>
        <v>96.72</v>
      </c>
      <c r="F7" s="1">
        <v>0</v>
      </c>
      <c r="G7" s="1" t="s">
        <v>10</v>
      </c>
    </row>
    <row r="8" spans="2:7" x14ac:dyDescent="0.3">
      <c r="B8" s="1">
        <v>627395</v>
      </c>
      <c r="C8" s="1" t="s">
        <v>0</v>
      </c>
      <c r="D8" s="1">
        <v>93</v>
      </c>
      <c r="E8" s="1">
        <f t="shared" si="0"/>
        <v>96.72</v>
      </c>
      <c r="F8" s="1">
        <v>0</v>
      </c>
      <c r="G8" s="1" t="s">
        <v>11</v>
      </c>
    </row>
    <row r="9" spans="2:7" x14ac:dyDescent="0.3">
      <c r="B9" s="1">
        <v>666632</v>
      </c>
      <c r="C9" s="1" t="s">
        <v>12</v>
      </c>
      <c r="D9" s="1">
        <v>130</v>
      </c>
      <c r="E9" s="1">
        <f t="shared" si="0"/>
        <v>135.20000000000002</v>
      </c>
      <c r="F9" s="1">
        <v>90</v>
      </c>
      <c r="G9" s="1" t="s">
        <v>7</v>
      </c>
    </row>
    <row r="10" spans="2:7" x14ac:dyDescent="0.3">
      <c r="B10" s="1">
        <v>666632</v>
      </c>
      <c r="C10" s="1" t="s">
        <v>12</v>
      </c>
      <c r="D10" s="1">
        <v>130</v>
      </c>
      <c r="E10" s="1">
        <f t="shared" si="0"/>
        <v>135.20000000000002</v>
      </c>
      <c r="F10" s="1">
        <v>0</v>
      </c>
      <c r="G10" s="1" t="s">
        <v>8</v>
      </c>
    </row>
    <row r="11" spans="2:7" x14ac:dyDescent="0.3">
      <c r="B11" s="1">
        <v>666632</v>
      </c>
      <c r="C11" s="1" t="s">
        <v>12</v>
      </c>
      <c r="D11" s="1">
        <v>130</v>
      </c>
      <c r="E11" s="1">
        <f t="shared" si="0"/>
        <v>135.20000000000002</v>
      </c>
      <c r="F11" s="1">
        <v>72</v>
      </c>
      <c r="G11" s="1" t="s">
        <v>9</v>
      </c>
    </row>
    <row r="12" spans="2:7" x14ac:dyDescent="0.3">
      <c r="B12" s="1">
        <v>666632</v>
      </c>
      <c r="C12" s="1" t="s">
        <v>12</v>
      </c>
      <c r="D12" s="1">
        <v>130</v>
      </c>
      <c r="E12" s="1">
        <f t="shared" si="0"/>
        <v>135.20000000000002</v>
      </c>
      <c r="F12" s="1">
        <v>0</v>
      </c>
      <c r="G12" s="1" t="s">
        <v>10</v>
      </c>
    </row>
    <row r="13" spans="2:7" x14ac:dyDescent="0.3">
      <c r="B13" s="1">
        <v>666632</v>
      </c>
      <c r="C13" s="1" t="s">
        <v>12</v>
      </c>
      <c r="D13" s="1">
        <v>130</v>
      </c>
      <c r="E13" s="1">
        <f t="shared" si="0"/>
        <v>135.20000000000002</v>
      </c>
      <c r="F13" s="1">
        <v>120</v>
      </c>
      <c r="G13" s="1" t="s">
        <v>11</v>
      </c>
    </row>
    <row r="14" spans="2:7" x14ac:dyDescent="0.3">
      <c r="B14" s="1">
        <v>315787</v>
      </c>
      <c r="C14" s="1" t="s">
        <v>13</v>
      </c>
      <c r="D14" s="1">
        <v>123</v>
      </c>
      <c r="E14" s="1">
        <f t="shared" si="0"/>
        <v>127.92</v>
      </c>
      <c r="F14" s="1">
        <v>54</v>
      </c>
      <c r="G14" s="1" t="s">
        <v>7</v>
      </c>
    </row>
    <row r="15" spans="2:7" x14ac:dyDescent="0.3">
      <c r="B15" s="1">
        <v>315787</v>
      </c>
      <c r="C15" s="1" t="s">
        <v>13</v>
      </c>
      <c r="D15" s="1">
        <v>123</v>
      </c>
      <c r="E15" s="1">
        <f t="shared" si="0"/>
        <v>127.92</v>
      </c>
      <c r="F15" s="1">
        <v>0</v>
      </c>
      <c r="G15" s="1" t="s">
        <v>8</v>
      </c>
    </row>
    <row r="16" spans="2:7" x14ac:dyDescent="0.3">
      <c r="B16" s="1">
        <v>315787</v>
      </c>
      <c r="C16" s="1" t="s">
        <v>13</v>
      </c>
      <c r="D16" s="1">
        <v>123</v>
      </c>
      <c r="E16" s="1">
        <f t="shared" si="0"/>
        <v>127.92</v>
      </c>
      <c r="F16" s="1">
        <v>50</v>
      </c>
      <c r="G16" s="1" t="s">
        <v>9</v>
      </c>
    </row>
    <row r="17" spans="2:7" x14ac:dyDescent="0.3">
      <c r="B17" s="1">
        <v>315787</v>
      </c>
      <c r="C17" s="1" t="s">
        <v>13</v>
      </c>
      <c r="D17" s="1">
        <v>123</v>
      </c>
      <c r="E17" s="1">
        <f t="shared" si="0"/>
        <v>127.92</v>
      </c>
      <c r="F17" s="1">
        <v>0</v>
      </c>
      <c r="G17" s="1" t="s">
        <v>10</v>
      </c>
    </row>
    <row r="18" spans="2:7" x14ac:dyDescent="0.3">
      <c r="B18" s="1">
        <v>315787</v>
      </c>
      <c r="C18" s="1" t="s">
        <v>13</v>
      </c>
      <c r="D18" s="1">
        <v>123</v>
      </c>
      <c r="E18" s="1">
        <f t="shared" si="0"/>
        <v>127.92</v>
      </c>
      <c r="F18" s="1">
        <v>146</v>
      </c>
      <c r="G18" s="1" t="s">
        <v>11</v>
      </c>
    </row>
    <row r="19" spans="2:7" x14ac:dyDescent="0.3">
      <c r="B19" s="1">
        <v>156841</v>
      </c>
      <c r="C19" s="1" t="s">
        <v>14</v>
      </c>
      <c r="D19" s="1">
        <v>90</v>
      </c>
      <c r="E19" s="1">
        <f t="shared" si="0"/>
        <v>93.600000000000009</v>
      </c>
      <c r="F19" s="1">
        <v>0</v>
      </c>
      <c r="G19" s="1" t="s">
        <v>7</v>
      </c>
    </row>
    <row r="20" spans="2:7" x14ac:dyDescent="0.3">
      <c r="B20" s="1">
        <v>156841</v>
      </c>
      <c r="C20" s="1" t="s">
        <v>14</v>
      </c>
      <c r="D20" s="1">
        <v>90</v>
      </c>
      <c r="E20" s="1">
        <f t="shared" si="0"/>
        <v>93.600000000000009</v>
      </c>
      <c r="F20" s="1">
        <v>96</v>
      </c>
      <c r="G20" s="1" t="s">
        <v>8</v>
      </c>
    </row>
    <row r="21" spans="2:7" x14ac:dyDescent="0.3">
      <c r="B21" s="1">
        <v>156841</v>
      </c>
      <c r="C21" s="1" t="s">
        <v>14</v>
      </c>
      <c r="D21" s="1">
        <v>90</v>
      </c>
      <c r="E21" s="1">
        <f t="shared" si="0"/>
        <v>93.600000000000009</v>
      </c>
      <c r="F21" s="1">
        <v>0</v>
      </c>
      <c r="G21" s="1" t="s">
        <v>9</v>
      </c>
    </row>
    <row r="22" spans="2:7" x14ac:dyDescent="0.3">
      <c r="B22" s="1">
        <v>156841</v>
      </c>
      <c r="C22" s="1" t="s">
        <v>14</v>
      </c>
      <c r="D22" s="1">
        <v>90</v>
      </c>
      <c r="E22" s="1">
        <f t="shared" si="0"/>
        <v>93.600000000000009</v>
      </c>
      <c r="F22" s="1">
        <v>133</v>
      </c>
      <c r="G22" s="1" t="s">
        <v>10</v>
      </c>
    </row>
    <row r="23" spans="2:7" x14ac:dyDescent="0.3">
      <c r="B23" s="1">
        <v>156841</v>
      </c>
      <c r="C23" s="1" t="s">
        <v>14</v>
      </c>
      <c r="D23" s="1">
        <v>90</v>
      </c>
      <c r="E23" s="1">
        <f t="shared" si="0"/>
        <v>93.600000000000009</v>
      </c>
      <c r="F23" s="1">
        <v>0</v>
      </c>
      <c r="G23" s="1" t="s">
        <v>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FFFF-4F88-412A-9A03-EFDBBF97E4DC}">
  <sheetPr>
    <tabColor theme="7"/>
  </sheetPr>
  <dimension ref="B1:C27"/>
  <sheetViews>
    <sheetView tabSelected="1" workbookViewId="0">
      <selection activeCell="C19" sqref="C19"/>
    </sheetView>
  </sheetViews>
  <sheetFormatPr defaultRowHeight="14.4" x14ac:dyDescent="0.3"/>
  <cols>
    <col min="1" max="1" width="8.88671875" style="49"/>
    <col min="2" max="2" width="42.5546875" style="49" customWidth="1"/>
    <col min="3" max="3" width="40.88671875" style="49" customWidth="1"/>
    <col min="4" max="16384" width="8.88671875" style="49"/>
  </cols>
  <sheetData>
    <row r="1" spans="2:3" ht="15" thickBot="1" x14ac:dyDescent="0.35">
      <c r="B1" s="57"/>
      <c r="C1" s="58"/>
    </row>
    <row r="2" spans="2:3" ht="15" thickBot="1" x14ac:dyDescent="0.35">
      <c r="B2" s="59" t="s">
        <v>22</v>
      </c>
      <c r="C2" s="60"/>
    </row>
    <row r="3" spans="2:3" x14ac:dyDescent="0.3">
      <c r="B3" s="43" t="s">
        <v>23</v>
      </c>
      <c r="C3" s="44"/>
    </row>
    <row r="4" spans="2:3" x14ac:dyDescent="0.3">
      <c r="B4" s="43" t="s">
        <v>24</v>
      </c>
      <c r="C4" s="44"/>
    </row>
    <row r="5" spans="2:3" x14ac:dyDescent="0.3">
      <c r="B5" s="43" t="s">
        <v>25</v>
      </c>
      <c r="C5" s="44"/>
    </row>
    <row r="6" spans="2:3" x14ac:dyDescent="0.3">
      <c r="B6" s="43" t="s">
        <v>26</v>
      </c>
      <c r="C6" s="44"/>
    </row>
    <row r="7" spans="2:3" x14ac:dyDescent="0.3">
      <c r="B7" s="43" t="s">
        <v>27</v>
      </c>
      <c r="C7" s="44"/>
    </row>
    <row r="8" spans="2:3" x14ac:dyDescent="0.3">
      <c r="B8" s="43" t="s">
        <v>28</v>
      </c>
      <c r="C8" s="44"/>
    </row>
    <row r="9" spans="2:3" x14ac:dyDescent="0.3">
      <c r="B9" s="45" t="s">
        <v>29</v>
      </c>
      <c r="C9" s="46"/>
    </row>
    <row r="10" spans="2:3" ht="15" thickBot="1" x14ac:dyDescent="0.35">
      <c r="B10" s="47" t="s">
        <v>30</v>
      </c>
      <c r="C10" s="48"/>
    </row>
    <row r="11" spans="2:3" ht="15" thickBot="1" x14ac:dyDescent="0.35"/>
    <row r="12" spans="2:3" x14ac:dyDescent="0.3">
      <c r="B12" s="41" t="s">
        <v>31</v>
      </c>
      <c r="C12" s="42"/>
    </row>
    <row r="13" spans="2:3" ht="28.8" x14ac:dyDescent="0.3">
      <c r="B13" s="51" t="s">
        <v>3</v>
      </c>
      <c r="C13" s="52" t="s">
        <v>32</v>
      </c>
    </row>
    <row r="14" spans="2:3" x14ac:dyDescent="0.3">
      <c r="B14" s="53" t="s">
        <v>7</v>
      </c>
      <c r="C14" s="54" t="s">
        <v>33</v>
      </c>
    </row>
    <row r="15" spans="2:3" x14ac:dyDescent="0.3">
      <c r="B15" s="53" t="s">
        <v>8</v>
      </c>
      <c r="C15" s="54" t="s">
        <v>34</v>
      </c>
    </row>
    <row r="16" spans="2:3" x14ac:dyDescent="0.3">
      <c r="B16" s="53" t="s">
        <v>9</v>
      </c>
      <c r="C16" s="54" t="s">
        <v>35</v>
      </c>
    </row>
    <row r="17" spans="2:3" x14ac:dyDescent="0.3">
      <c r="B17" s="53" t="s">
        <v>10</v>
      </c>
      <c r="C17" s="54" t="s">
        <v>36</v>
      </c>
    </row>
    <row r="18" spans="2:3" ht="15" thickBot="1" x14ac:dyDescent="0.35">
      <c r="B18" s="55" t="s">
        <v>11</v>
      </c>
      <c r="C18" s="56" t="s">
        <v>37</v>
      </c>
    </row>
    <row r="19" spans="2:3" ht="15" thickBot="1" x14ac:dyDescent="0.35"/>
    <row r="20" spans="2:3" x14ac:dyDescent="0.3">
      <c r="B20" s="33" t="s">
        <v>38</v>
      </c>
      <c r="C20" s="34"/>
    </row>
    <row r="21" spans="2:3" x14ac:dyDescent="0.3">
      <c r="B21" s="35" t="s">
        <v>39</v>
      </c>
      <c r="C21" s="36"/>
    </row>
    <row r="22" spans="2:3" x14ac:dyDescent="0.3">
      <c r="B22" s="35" t="s">
        <v>40</v>
      </c>
      <c r="C22" s="36"/>
    </row>
    <row r="23" spans="2:3" ht="15" thickBot="1" x14ac:dyDescent="0.35">
      <c r="B23" s="37" t="s">
        <v>41</v>
      </c>
      <c r="C23" s="38"/>
    </row>
    <row r="24" spans="2:3" ht="15" thickBot="1" x14ac:dyDescent="0.35"/>
    <row r="25" spans="2:3" x14ac:dyDescent="0.3">
      <c r="B25" s="33" t="s">
        <v>42</v>
      </c>
      <c r="C25" s="34"/>
    </row>
    <row r="26" spans="2:3" ht="31.8" customHeight="1" thickBot="1" x14ac:dyDescent="0.35">
      <c r="B26" s="39" t="s">
        <v>43</v>
      </c>
      <c r="C26" s="40"/>
    </row>
    <row r="27" spans="2:3" x14ac:dyDescent="0.3">
      <c r="B27" s="50"/>
      <c r="C27" s="50"/>
    </row>
  </sheetData>
  <mergeCells count="13">
    <mergeCell ref="B7:C7"/>
    <mergeCell ref="B8:C8"/>
    <mergeCell ref="B9:C9"/>
    <mergeCell ref="B10:C10"/>
    <mergeCell ref="B12:C12"/>
    <mergeCell ref="B20:C20"/>
    <mergeCell ref="B25:C25"/>
    <mergeCell ref="B26:C26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0B48-70A0-4BE7-BEBA-43A2FE36BDAA}">
  <sheetPr>
    <tabColor theme="9"/>
  </sheetPr>
  <dimension ref="B3:S10"/>
  <sheetViews>
    <sheetView workbookViewId="0">
      <selection activeCell="F4" sqref="F4"/>
    </sheetView>
  </sheetViews>
  <sheetFormatPr defaultRowHeight="14.4" x14ac:dyDescent="0.3"/>
  <cols>
    <col min="3" max="3" width="11" bestFit="1" customWidth="1"/>
    <col min="4" max="4" width="10.88671875" bestFit="1" customWidth="1"/>
    <col min="5" max="5" width="12.44140625" bestFit="1" customWidth="1"/>
    <col min="6" max="6" width="18" bestFit="1" customWidth="1"/>
    <col min="7" max="7" width="6.33203125" bestFit="1" customWidth="1"/>
    <col min="8" max="8" width="9" bestFit="1" customWidth="1"/>
    <col min="9" max="9" width="7.77734375" bestFit="1" customWidth="1"/>
    <col min="10" max="10" width="12.5546875" bestFit="1" customWidth="1"/>
    <col min="11" max="14" width="9.44140625" bestFit="1" customWidth="1"/>
    <col min="15" max="15" width="12.44140625" bestFit="1" customWidth="1"/>
    <col min="16" max="16" width="7.5546875" bestFit="1" customWidth="1"/>
    <col min="17" max="17" width="7.88671875" bestFit="1" customWidth="1"/>
    <col min="18" max="18" width="9" bestFit="1" customWidth="1"/>
    <col min="19" max="19" width="7.77734375" bestFit="1" customWidth="1"/>
  </cols>
  <sheetData>
    <row r="3" spans="2:19" x14ac:dyDescent="0.3">
      <c r="E3" s="13" t="s">
        <v>20</v>
      </c>
      <c r="F3" s="13"/>
      <c r="G3" s="13"/>
      <c r="H3" s="13"/>
      <c r="I3" s="13"/>
      <c r="J3" s="13" t="s">
        <v>19</v>
      </c>
      <c r="K3" s="13"/>
      <c r="L3" s="13"/>
      <c r="M3" s="13"/>
      <c r="N3" s="13"/>
    </row>
    <row r="4" spans="2:19" x14ac:dyDescent="0.3">
      <c r="E4" s="14">
        <f>MATCH(E6,ГородскиеЦены_2[#Headers],0)</f>
        <v>3</v>
      </c>
      <c r="F4" s="14">
        <f>MATCH(F6,ГородскиеЦены_2[#Headers],0)</f>
        <v>4</v>
      </c>
      <c r="G4" s="14">
        <f>MATCH(G6,ГородскиеЦены_2[#Headers],0)</f>
        <v>5</v>
      </c>
      <c r="H4" s="14">
        <f>MATCH(H6,ГородскиеЦены_2[#Headers],0)</f>
        <v>6</v>
      </c>
      <c r="I4" s="14">
        <f>MATCH(I6,ГородскиеЦены_2[#Headers],0)</f>
        <v>7</v>
      </c>
      <c r="J4" s="14">
        <v>4</v>
      </c>
      <c r="K4" s="14">
        <v>12</v>
      </c>
      <c r="L4" s="14">
        <v>10</v>
      </c>
      <c r="M4" s="14">
        <v>8</v>
      </c>
      <c r="N4" s="14">
        <v>2</v>
      </c>
    </row>
    <row r="5" spans="2:19" x14ac:dyDescent="0.3">
      <c r="B5" s="3"/>
      <c r="C5" s="3"/>
      <c r="D5" s="3"/>
      <c r="E5" s="6" t="s">
        <v>17</v>
      </c>
      <c r="F5" s="6"/>
      <c r="G5" s="6"/>
      <c r="H5" s="6"/>
      <c r="I5" s="6"/>
      <c r="J5" s="9" t="s">
        <v>18</v>
      </c>
      <c r="K5" s="9"/>
      <c r="L5" s="9"/>
      <c r="M5" s="9"/>
      <c r="N5" s="9"/>
      <c r="O5" s="11" t="s">
        <v>21</v>
      </c>
      <c r="P5" s="11"/>
      <c r="Q5" s="11"/>
      <c r="R5" s="11"/>
      <c r="S5" s="11"/>
    </row>
    <row r="6" spans="2:19" x14ac:dyDescent="0.3">
      <c r="B6" s="4" t="s">
        <v>15</v>
      </c>
      <c r="C6" s="4" t="s">
        <v>2</v>
      </c>
      <c r="D6" s="4" t="s">
        <v>16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10" t="s">
        <v>7</v>
      </c>
      <c r="K6" s="10" t="s">
        <v>8</v>
      </c>
      <c r="L6" s="10" t="s">
        <v>9</v>
      </c>
      <c r="M6" s="10" t="s">
        <v>10</v>
      </c>
      <c r="N6" s="10" t="s">
        <v>11</v>
      </c>
      <c r="O6" s="12" t="s">
        <v>7</v>
      </c>
      <c r="P6" s="12" t="s">
        <v>8</v>
      </c>
      <c r="Q6" s="12" t="s">
        <v>9</v>
      </c>
      <c r="R6" s="12" t="s">
        <v>10</v>
      </c>
      <c r="S6" s="12" t="s">
        <v>11</v>
      </c>
    </row>
    <row r="7" spans="2:19" x14ac:dyDescent="0.3">
      <c r="B7" s="5">
        <v>627395</v>
      </c>
      <c r="C7" s="5" t="s">
        <v>0</v>
      </c>
      <c r="D7" s="5">
        <f>VLOOKUP(B7,'Исходные данные'!B4:D23,3,0)</f>
        <v>93</v>
      </c>
      <c r="E7" s="8">
        <f>IF(VLOOKUP($B7,ГородскиеЦены_2[],СВОД!E$4,0)=0,VLOOKUP(СВОД!$B7,РегиональныеЦены[],3,0),VLOOKUP($B7,ГородскиеЦены_2[],СВОД!E$4,0))</f>
        <v>96.72</v>
      </c>
      <c r="F7" s="8">
        <f>IF(VLOOKUP($B7,ГородскиеЦены_2[],СВОД!F$4,0)=0,VLOOKUP(СВОД!$B7,РегиональныеЦены[],3,0),VLOOKUP($B7,ГородскиеЦены_2[],СВОД!F$4,0))</f>
        <v>96.72</v>
      </c>
      <c r="G7" s="8">
        <f>IF(VLOOKUP($B7,ГородскиеЦены_2[],СВОД!G$4,0)=0,VLOOKUP(СВОД!$B7,РегиональныеЦены[],3,0),VLOOKUP($B7,ГородскиеЦены_2[],СВОД!G$4,0))</f>
        <v>129</v>
      </c>
      <c r="H7" s="8">
        <f>IF(VLOOKUP($B7,ГородскиеЦены_2[],СВОД!H$4,0)=0,VLOOKUP(СВОД!$B7,РегиональныеЦены[],3,0),VLOOKUP($B7,ГородскиеЦены_2[],СВОД!H$4,0))</f>
        <v>96.72</v>
      </c>
      <c r="I7" s="8">
        <f>IF(VLOOKUP($B7,ГородскиеЦены_2[],СВОД!I$4,0)=0,VLOOKUP(СВОД!$B7,РегиональныеЦены[],3,0),VLOOKUP($B7,ГородскиеЦены_2[],СВОД!I$4,0))</f>
        <v>96.72</v>
      </c>
      <c r="J7" s="16">
        <f>D7*J$4%+D7</f>
        <v>96.72</v>
      </c>
      <c r="K7" s="16">
        <f t="shared" ref="K7:N10" si="0">E7*K$4%+E7</f>
        <v>108.32639999999999</v>
      </c>
      <c r="L7" s="16">
        <f t="shared" si="0"/>
        <v>106.392</v>
      </c>
      <c r="M7" s="16">
        <f t="shared" si="0"/>
        <v>139.32</v>
      </c>
      <c r="N7" s="16">
        <f t="shared" si="0"/>
        <v>98.654399999999995</v>
      </c>
      <c r="O7" s="61">
        <f>J7/E7-1</f>
        <v>0</v>
      </c>
      <c r="P7" s="61">
        <f t="shared" ref="P7:S7" si="1">K7/F7-1</f>
        <v>0.11999999999999988</v>
      </c>
      <c r="Q7" s="61">
        <f t="shared" si="1"/>
        <v>-0.17525581395348844</v>
      </c>
      <c r="R7" s="61">
        <f t="shared" si="1"/>
        <v>0.44044665012406936</v>
      </c>
      <c r="S7" s="61">
        <f t="shared" si="1"/>
        <v>2.0000000000000018E-2</v>
      </c>
    </row>
    <row r="8" spans="2:19" x14ac:dyDescent="0.3">
      <c r="B8" s="5">
        <v>666632</v>
      </c>
      <c r="C8" s="5" t="s">
        <v>12</v>
      </c>
      <c r="D8" s="5">
        <f>VLOOKUP(B8,'Исходные данные'!B5:D24,3,0)</f>
        <v>130</v>
      </c>
      <c r="E8" s="8">
        <f>IF(VLOOKUP($B8,ГородскиеЦены_2[],СВОД!E$4,0)=0,VLOOKUP(СВОД!$B8,РегиональныеЦены[],3,0),VLOOKUP($B8,ГородскиеЦены_2[],СВОД!E$4,0))</f>
        <v>90</v>
      </c>
      <c r="F8" s="8">
        <f>IF(VLOOKUP($B8,ГородскиеЦены_2[],СВОД!F$4,0)=0,VLOOKUP(СВОД!$B8,РегиональныеЦены[],3,0),VLOOKUP($B8,ГородскиеЦены_2[],СВОД!F$4,0))</f>
        <v>135.20000000000002</v>
      </c>
      <c r="G8" s="8">
        <f>IF(VLOOKUP($B8,ГородскиеЦены_2[],СВОД!G$4,0)=0,VLOOKUP(СВОД!$B8,РегиональныеЦены[],3,0),VLOOKUP($B8,ГородскиеЦены_2[],СВОД!G$4,0))</f>
        <v>72</v>
      </c>
      <c r="H8" s="8">
        <f>IF(VLOOKUP($B8,ГородскиеЦены_2[],СВОД!H$4,0)=0,VLOOKUP(СВОД!$B8,РегиональныеЦены[],3,0),VLOOKUP($B8,ГородскиеЦены_2[],СВОД!H$4,0))</f>
        <v>135.20000000000002</v>
      </c>
      <c r="I8" s="8">
        <f>IF(VLOOKUP($B8,ГородскиеЦены_2[],СВОД!I$4,0)=0,VLOOKUP(СВОД!$B8,РегиональныеЦены[],3,0),VLOOKUP($B8,ГородскиеЦены_2[],СВОД!I$4,0))</f>
        <v>120</v>
      </c>
      <c r="J8" s="16">
        <f t="shared" ref="J8:J10" si="2">D8*J$4%+D8</f>
        <v>135.19999999999999</v>
      </c>
      <c r="K8" s="16">
        <f t="shared" si="0"/>
        <v>100.8</v>
      </c>
      <c r="L8" s="16">
        <f t="shared" si="0"/>
        <v>148.72000000000003</v>
      </c>
      <c r="M8" s="16">
        <f t="shared" si="0"/>
        <v>77.760000000000005</v>
      </c>
      <c r="N8" s="16">
        <f t="shared" si="0"/>
        <v>137.90400000000002</v>
      </c>
      <c r="O8" s="61">
        <f t="shared" ref="O8:O10" si="3">J8/E8-1</f>
        <v>0.50222222222222213</v>
      </c>
      <c r="P8" s="61">
        <f t="shared" ref="P8:P10" si="4">K8/F8-1</f>
        <v>-0.25443786982248529</v>
      </c>
      <c r="Q8" s="61">
        <f t="shared" ref="Q8:Q10" si="5">L8/G8-1</f>
        <v>1.065555555555556</v>
      </c>
      <c r="R8" s="61">
        <f t="shared" ref="R8:R10" si="6">M8/H8-1</f>
        <v>-0.42485207100591715</v>
      </c>
      <c r="S8" s="61">
        <f t="shared" ref="S8:S10" si="7">N8/I8-1</f>
        <v>0.14920000000000022</v>
      </c>
    </row>
    <row r="9" spans="2:19" x14ac:dyDescent="0.3">
      <c r="B9" s="5">
        <v>315787</v>
      </c>
      <c r="C9" s="5" t="s">
        <v>13</v>
      </c>
      <c r="D9" s="5">
        <f>VLOOKUP(B9,'Исходные данные'!B6:D25,3,0)</f>
        <v>123</v>
      </c>
      <c r="E9" s="8">
        <f>IF(VLOOKUP($B9,ГородскиеЦены_2[],СВОД!E$4,0)=0,VLOOKUP(СВОД!$B9,РегиональныеЦены[],3,0),VLOOKUP($B9,ГородскиеЦены_2[],СВОД!E$4,0))</f>
        <v>54</v>
      </c>
      <c r="F9" s="8">
        <f>IF(VLOOKUP($B9,ГородскиеЦены_2[],СВОД!F$4,0)=0,VLOOKUP(СВОД!$B9,РегиональныеЦены[],3,0),VLOOKUP($B9,ГородскиеЦены_2[],СВОД!F$4,0))</f>
        <v>127.92</v>
      </c>
      <c r="G9" s="8">
        <f>IF(VLOOKUP($B9,ГородскиеЦены_2[],СВОД!G$4,0)=0,VLOOKUP(СВОД!$B9,РегиональныеЦены[],3,0),VLOOKUP($B9,ГородскиеЦены_2[],СВОД!G$4,0))</f>
        <v>50</v>
      </c>
      <c r="H9" s="8">
        <f>IF(VLOOKUP($B9,ГородскиеЦены_2[],СВОД!H$4,0)=0,VLOOKUP(СВОД!$B9,РегиональныеЦены[],3,0),VLOOKUP($B9,ГородскиеЦены_2[],СВОД!H$4,0))</f>
        <v>127.92</v>
      </c>
      <c r="I9" s="8">
        <f>IF(VLOOKUP($B9,ГородскиеЦены_2[],СВОД!I$4,0)=0,VLOOKUP(СВОД!$B9,РегиональныеЦены[],3,0),VLOOKUP($B9,ГородскиеЦены_2[],СВОД!I$4,0))</f>
        <v>146</v>
      </c>
      <c r="J9" s="16">
        <f t="shared" si="2"/>
        <v>127.92</v>
      </c>
      <c r="K9" s="16">
        <f t="shared" si="0"/>
        <v>60.48</v>
      </c>
      <c r="L9" s="16">
        <f t="shared" si="0"/>
        <v>140.71199999999999</v>
      </c>
      <c r="M9" s="16">
        <f t="shared" si="0"/>
        <v>54</v>
      </c>
      <c r="N9" s="16">
        <f t="shared" si="0"/>
        <v>130.47839999999999</v>
      </c>
      <c r="O9" s="61">
        <f t="shared" si="3"/>
        <v>1.3688888888888888</v>
      </c>
      <c r="P9" s="61">
        <f t="shared" si="4"/>
        <v>-0.5272045028142589</v>
      </c>
      <c r="Q9" s="61">
        <f t="shared" si="5"/>
        <v>1.8142399999999999</v>
      </c>
      <c r="R9" s="61">
        <f t="shared" si="6"/>
        <v>-0.57786116322701697</v>
      </c>
      <c r="S9" s="61">
        <f t="shared" si="7"/>
        <v>-0.10631232876712338</v>
      </c>
    </row>
    <row r="10" spans="2:19" x14ac:dyDescent="0.3">
      <c r="B10" s="5">
        <v>156841</v>
      </c>
      <c r="C10" s="5" t="s">
        <v>14</v>
      </c>
      <c r="D10" s="5">
        <f>VLOOKUP(B10,'Исходные данные'!B7:D26,3,0)</f>
        <v>90</v>
      </c>
      <c r="E10" s="8">
        <f>IF(VLOOKUP($B10,ГородскиеЦены_2[],СВОД!E$4,0)=0,VLOOKUP(СВОД!$B10,РегиональныеЦены[],3,0),VLOOKUP($B10,ГородскиеЦены_2[],СВОД!E$4,0))</f>
        <v>93.600000000000009</v>
      </c>
      <c r="F10" s="8">
        <f>IF(VLOOKUP($B10,ГородскиеЦены_2[],СВОД!F$4,0)=0,VLOOKUP(СВОД!$B10,РегиональныеЦены[],3,0),VLOOKUP($B10,ГородскиеЦены_2[],СВОД!F$4,0))</f>
        <v>96</v>
      </c>
      <c r="G10" s="8">
        <f>IF(VLOOKUP($B10,ГородскиеЦены_2[],СВОД!G$4,0)=0,VLOOKUP(СВОД!$B10,РегиональныеЦены[],3,0),VLOOKUP($B10,ГородскиеЦены_2[],СВОД!G$4,0))</f>
        <v>93.600000000000009</v>
      </c>
      <c r="H10" s="8">
        <f>IF(VLOOKUP($B10,ГородскиеЦены_2[],СВОД!H$4,0)=0,VLOOKUP(СВОД!$B10,РегиональныеЦены[],3,0),VLOOKUP($B10,ГородскиеЦены_2[],СВОД!H$4,0))</f>
        <v>133</v>
      </c>
      <c r="I10" s="8">
        <f>IF(VLOOKUP($B10,ГородскиеЦены_2[],СВОД!I$4,0)=0,VLOOKUP(СВОД!$B10,РегиональныеЦены[],3,0),VLOOKUP($B10,ГородскиеЦены_2[],СВОД!I$4,0))</f>
        <v>93.600000000000009</v>
      </c>
      <c r="J10" s="16">
        <f t="shared" si="2"/>
        <v>93.6</v>
      </c>
      <c r="K10" s="16">
        <f t="shared" si="0"/>
        <v>104.83200000000001</v>
      </c>
      <c r="L10" s="16">
        <f t="shared" si="0"/>
        <v>105.6</v>
      </c>
      <c r="M10" s="16">
        <f t="shared" si="0"/>
        <v>101.08800000000001</v>
      </c>
      <c r="N10" s="16">
        <f t="shared" si="0"/>
        <v>135.66</v>
      </c>
      <c r="O10" s="61">
        <f t="shared" si="3"/>
        <v>0</v>
      </c>
      <c r="P10" s="61">
        <f t="shared" si="4"/>
        <v>9.2000000000000082E-2</v>
      </c>
      <c r="Q10" s="61">
        <f t="shared" si="5"/>
        <v>0.12820512820512797</v>
      </c>
      <c r="R10" s="61">
        <f t="shared" si="6"/>
        <v>-0.23993984962406012</v>
      </c>
      <c r="S10" s="61">
        <f t="shared" si="7"/>
        <v>0.44935897435897409</v>
      </c>
    </row>
  </sheetData>
  <mergeCells count="5">
    <mergeCell ref="E5:I5"/>
    <mergeCell ref="J5:N5"/>
    <mergeCell ref="O5:S5"/>
    <mergeCell ref="J3:N3"/>
    <mergeCell ref="E3:I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20BB-2EB5-4104-9651-1DE53B90994C}">
  <sheetPr>
    <tabColor theme="9"/>
  </sheetPr>
  <dimension ref="B2:H10"/>
  <sheetViews>
    <sheetView workbookViewId="0">
      <selection activeCell="D20" sqref="D20"/>
    </sheetView>
  </sheetViews>
  <sheetFormatPr defaultRowHeight="14.4" x14ac:dyDescent="0.3"/>
  <cols>
    <col min="2" max="2" width="10.109375" customWidth="1"/>
    <col min="3" max="3" width="13.109375" customWidth="1"/>
    <col min="4" max="4" width="14.5546875" customWidth="1"/>
    <col min="5" max="8" width="12.6640625" bestFit="1" customWidth="1"/>
  </cols>
  <sheetData>
    <row r="2" spans="2:8" s="17" customFormat="1" x14ac:dyDescent="0.3">
      <c r="B2" s="18" t="s">
        <v>21</v>
      </c>
      <c r="C2" s="19"/>
      <c r="D2" s="19"/>
      <c r="E2" s="19"/>
      <c r="F2" s="19"/>
      <c r="G2" s="19"/>
      <c r="H2" s="20"/>
    </row>
    <row r="3" spans="2:8" s="17" customFormat="1" x14ac:dyDescent="0.3">
      <c r="B3" s="21" t="s">
        <v>15</v>
      </c>
      <c r="C3" s="22" t="s">
        <v>2</v>
      </c>
      <c r="D3" s="31" t="s">
        <v>7</v>
      </c>
      <c r="E3" s="31" t="s">
        <v>8</v>
      </c>
      <c r="F3" s="31" t="s">
        <v>9</v>
      </c>
      <c r="G3" s="31" t="s">
        <v>10</v>
      </c>
      <c r="H3" s="32" t="s">
        <v>11</v>
      </c>
    </row>
    <row r="4" spans="2:8" x14ac:dyDescent="0.3">
      <c r="B4" s="23">
        <v>627395</v>
      </c>
      <c r="C4" s="24" t="s">
        <v>0</v>
      </c>
      <c r="D4" s="25">
        <v>0</v>
      </c>
      <c r="E4" s="25">
        <v>0.11999999999999988</v>
      </c>
      <c r="F4" s="25">
        <v>-0.17525581395348844</v>
      </c>
      <c r="G4" s="25">
        <v>0.44044665012406936</v>
      </c>
      <c r="H4" s="26">
        <v>2.0000000000000018E-2</v>
      </c>
    </row>
    <row r="5" spans="2:8" x14ac:dyDescent="0.3">
      <c r="B5" s="23">
        <v>666632</v>
      </c>
      <c r="C5" s="24" t="s">
        <v>12</v>
      </c>
      <c r="D5" s="25">
        <v>0.50222222222222213</v>
      </c>
      <c r="E5" s="25">
        <v>-0.25443786982248529</v>
      </c>
      <c r="F5" s="25">
        <v>1.065555555555556</v>
      </c>
      <c r="G5" s="25">
        <v>-0.42485207100591715</v>
      </c>
      <c r="H5" s="26">
        <v>0.14920000000000022</v>
      </c>
    </row>
    <row r="6" spans="2:8" x14ac:dyDescent="0.3">
      <c r="B6" s="23">
        <v>315787</v>
      </c>
      <c r="C6" s="24" t="s">
        <v>13</v>
      </c>
      <c r="D6" s="25">
        <v>1.3688888888888888</v>
      </c>
      <c r="E6" s="25">
        <v>-0.5272045028142589</v>
      </c>
      <c r="F6" s="25">
        <v>1.8142399999999999</v>
      </c>
      <c r="G6" s="25">
        <v>-0.57786116322701697</v>
      </c>
      <c r="H6" s="26">
        <v>-0.10631232876712338</v>
      </c>
    </row>
    <row r="7" spans="2:8" x14ac:dyDescent="0.3">
      <c r="B7" s="27">
        <v>156841</v>
      </c>
      <c r="C7" s="28" t="s">
        <v>14</v>
      </c>
      <c r="D7" s="29">
        <v>0</v>
      </c>
      <c r="E7" s="29">
        <v>9.2000000000000082E-2</v>
      </c>
      <c r="F7" s="29">
        <v>0.12820512820512797</v>
      </c>
      <c r="G7" s="29">
        <v>-0.23993984962406012</v>
      </c>
      <c r="H7" s="30">
        <v>0.44935897435897409</v>
      </c>
    </row>
    <row r="10" spans="2:8" x14ac:dyDescent="0.3"/>
  </sheetData>
  <mergeCells count="1">
    <mergeCell ref="B2:H2"/>
  </mergeCells>
  <conditionalFormatting sqref="D4:H7">
    <cfRule type="colorScale" priority="1">
      <colorScale>
        <cfvo type="min"/>
        <cfvo type="max"/>
        <color theme="9"/>
        <color theme="5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7E2E-D96D-4A02-B0F6-F1BA81B00654}">
  <dimension ref="C3:H23"/>
  <sheetViews>
    <sheetView workbookViewId="0">
      <selection activeCell="D10" sqref="C3:H23"/>
    </sheetView>
  </sheetViews>
  <sheetFormatPr defaultRowHeight="14.4" x14ac:dyDescent="0.3"/>
  <cols>
    <col min="3" max="3" width="16.5546875" customWidth="1"/>
    <col min="4" max="4" width="13.109375" customWidth="1"/>
    <col min="5" max="5" width="17" customWidth="1"/>
    <col min="6" max="6" width="44.21875" customWidth="1"/>
    <col min="7" max="7" width="36.21875" customWidth="1"/>
  </cols>
  <sheetData>
    <row r="3" spans="3:8" x14ac:dyDescent="0.3">
      <c r="C3" s="2" t="s">
        <v>1</v>
      </c>
      <c r="D3" s="2" t="s">
        <v>2</v>
      </c>
      <c r="E3" s="2" t="s">
        <v>4</v>
      </c>
      <c r="F3" s="2" t="s">
        <v>5</v>
      </c>
      <c r="G3" s="2" t="s">
        <v>6</v>
      </c>
      <c r="H3" s="2" t="s">
        <v>3</v>
      </c>
    </row>
    <row r="4" spans="3:8" x14ac:dyDescent="0.3">
      <c r="C4" s="1">
        <v>627395</v>
      </c>
      <c r="D4" s="1" t="s">
        <v>0</v>
      </c>
      <c r="E4" s="1">
        <v>93</v>
      </c>
      <c r="F4" s="1">
        <f>E4*1.04</f>
        <v>96.72</v>
      </c>
      <c r="G4" s="1">
        <v>0</v>
      </c>
      <c r="H4" s="1" t="s">
        <v>7</v>
      </c>
    </row>
    <row r="5" spans="3:8" x14ac:dyDescent="0.3">
      <c r="C5" s="1">
        <v>627395</v>
      </c>
      <c r="D5" s="1" t="s">
        <v>0</v>
      </c>
      <c r="E5" s="1">
        <v>93</v>
      </c>
      <c r="F5" s="1">
        <f t="shared" ref="F5:F23" si="0">E5*1.04</f>
        <v>96.72</v>
      </c>
      <c r="G5" s="1">
        <v>0</v>
      </c>
      <c r="H5" s="1" t="s">
        <v>8</v>
      </c>
    </row>
    <row r="6" spans="3:8" x14ac:dyDescent="0.3">
      <c r="C6" s="1">
        <v>627395</v>
      </c>
      <c r="D6" s="1" t="s">
        <v>0</v>
      </c>
      <c r="E6" s="1">
        <v>93</v>
      </c>
      <c r="F6" s="1">
        <f t="shared" si="0"/>
        <v>96.72</v>
      </c>
      <c r="G6" s="1">
        <v>129</v>
      </c>
      <c r="H6" s="1" t="s">
        <v>9</v>
      </c>
    </row>
    <row r="7" spans="3:8" x14ac:dyDescent="0.3">
      <c r="C7" s="1">
        <v>627395</v>
      </c>
      <c r="D7" s="1" t="s">
        <v>0</v>
      </c>
      <c r="E7" s="1">
        <v>93</v>
      </c>
      <c r="F7" s="1">
        <f t="shared" si="0"/>
        <v>96.72</v>
      </c>
      <c r="G7" s="1">
        <v>0</v>
      </c>
      <c r="H7" s="1" t="s">
        <v>10</v>
      </c>
    </row>
    <row r="8" spans="3:8" x14ac:dyDescent="0.3">
      <c r="C8" s="1">
        <v>627395</v>
      </c>
      <c r="D8" s="1" t="s">
        <v>0</v>
      </c>
      <c r="E8" s="1">
        <v>93</v>
      </c>
      <c r="F8" s="1">
        <f t="shared" si="0"/>
        <v>96.72</v>
      </c>
      <c r="G8" s="1">
        <v>0</v>
      </c>
      <c r="H8" s="1" t="s">
        <v>11</v>
      </c>
    </row>
    <row r="9" spans="3:8" x14ac:dyDescent="0.3">
      <c r="C9" s="1">
        <v>666632</v>
      </c>
      <c r="D9" s="1" t="s">
        <v>12</v>
      </c>
      <c r="E9" s="1">
        <v>130</v>
      </c>
      <c r="F9" s="1">
        <f t="shared" si="0"/>
        <v>135.20000000000002</v>
      </c>
      <c r="G9" s="1">
        <v>90</v>
      </c>
      <c r="H9" s="1" t="s">
        <v>7</v>
      </c>
    </row>
    <row r="10" spans="3:8" x14ac:dyDescent="0.3">
      <c r="C10" s="1">
        <v>666632</v>
      </c>
      <c r="D10" s="1" t="s">
        <v>12</v>
      </c>
      <c r="E10" s="1">
        <v>130</v>
      </c>
      <c r="F10" s="1">
        <f t="shared" si="0"/>
        <v>135.20000000000002</v>
      </c>
      <c r="G10" s="1">
        <v>0</v>
      </c>
      <c r="H10" s="1" t="s">
        <v>8</v>
      </c>
    </row>
    <row r="11" spans="3:8" x14ac:dyDescent="0.3">
      <c r="C11" s="1">
        <v>666632</v>
      </c>
      <c r="D11" s="1" t="s">
        <v>12</v>
      </c>
      <c r="E11" s="1">
        <v>130</v>
      </c>
      <c r="F11" s="1">
        <f t="shared" si="0"/>
        <v>135.20000000000002</v>
      </c>
      <c r="G11" s="1">
        <v>72</v>
      </c>
      <c r="H11" s="1" t="s">
        <v>9</v>
      </c>
    </row>
    <row r="12" spans="3:8" x14ac:dyDescent="0.3">
      <c r="C12" s="1">
        <v>666632</v>
      </c>
      <c r="D12" s="1" t="s">
        <v>12</v>
      </c>
      <c r="E12" s="1">
        <v>130</v>
      </c>
      <c r="F12" s="1">
        <f t="shared" si="0"/>
        <v>135.20000000000002</v>
      </c>
      <c r="G12" s="1">
        <v>0</v>
      </c>
      <c r="H12" s="1" t="s">
        <v>10</v>
      </c>
    </row>
    <row r="13" spans="3:8" x14ac:dyDescent="0.3">
      <c r="C13" s="1">
        <v>666632</v>
      </c>
      <c r="D13" s="1" t="s">
        <v>12</v>
      </c>
      <c r="E13" s="1">
        <v>130</v>
      </c>
      <c r="F13" s="1">
        <f t="shared" si="0"/>
        <v>135.20000000000002</v>
      </c>
      <c r="G13" s="1">
        <v>120</v>
      </c>
      <c r="H13" s="1" t="s">
        <v>11</v>
      </c>
    </row>
    <row r="14" spans="3:8" x14ac:dyDescent="0.3">
      <c r="C14" s="1">
        <v>315787</v>
      </c>
      <c r="D14" s="1" t="s">
        <v>13</v>
      </c>
      <c r="E14" s="1">
        <v>123</v>
      </c>
      <c r="F14" s="1">
        <f t="shared" si="0"/>
        <v>127.92</v>
      </c>
      <c r="G14" s="1">
        <v>54</v>
      </c>
      <c r="H14" s="1" t="s">
        <v>7</v>
      </c>
    </row>
    <row r="15" spans="3:8" x14ac:dyDescent="0.3">
      <c r="C15" s="1">
        <v>315787</v>
      </c>
      <c r="D15" s="1" t="s">
        <v>13</v>
      </c>
      <c r="E15" s="1">
        <v>123</v>
      </c>
      <c r="F15" s="1">
        <f t="shared" si="0"/>
        <v>127.92</v>
      </c>
      <c r="G15" s="1">
        <v>0</v>
      </c>
      <c r="H15" s="1" t="s">
        <v>8</v>
      </c>
    </row>
    <row r="16" spans="3:8" x14ac:dyDescent="0.3">
      <c r="C16" s="1">
        <v>315787</v>
      </c>
      <c r="D16" s="1" t="s">
        <v>13</v>
      </c>
      <c r="E16" s="1">
        <v>123</v>
      </c>
      <c r="F16" s="1">
        <f t="shared" si="0"/>
        <v>127.92</v>
      </c>
      <c r="G16" s="1">
        <v>50</v>
      </c>
      <c r="H16" s="1" t="s">
        <v>9</v>
      </c>
    </row>
    <row r="17" spans="3:8" x14ac:dyDescent="0.3">
      <c r="C17" s="1">
        <v>315787</v>
      </c>
      <c r="D17" s="1" t="s">
        <v>13</v>
      </c>
      <c r="E17" s="1">
        <v>123</v>
      </c>
      <c r="F17" s="1">
        <f t="shared" si="0"/>
        <v>127.92</v>
      </c>
      <c r="G17" s="1">
        <v>0</v>
      </c>
      <c r="H17" s="1" t="s">
        <v>10</v>
      </c>
    </row>
    <row r="18" spans="3:8" x14ac:dyDescent="0.3">
      <c r="C18" s="1">
        <v>315787</v>
      </c>
      <c r="D18" s="1" t="s">
        <v>13</v>
      </c>
      <c r="E18" s="1">
        <v>123</v>
      </c>
      <c r="F18" s="1">
        <f t="shared" si="0"/>
        <v>127.92</v>
      </c>
      <c r="G18" s="1">
        <v>146</v>
      </c>
      <c r="H18" s="1" t="s">
        <v>11</v>
      </c>
    </row>
    <row r="19" spans="3:8" x14ac:dyDescent="0.3">
      <c r="C19" s="1">
        <v>156841</v>
      </c>
      <c r="D19" s="1" t="s">
        <v>14</v>
      </c>
      <c r="E19" s="1">
        <v>90</v>
      </c>
      <c r="F19" s="1">
        <f t="shared" si="0"/>
        <v>93.600000000000009</v>
      </c>
      <c r="G19" s="1">
        <v>0</v>
      </c>
      <c r="H19" s="1" t="s">
        <v>7</v>
      </c>
    </row>
    <row r="20" spans="3:8" x14ac:dyDescent="0.3">
      <c r="C20" s="1">
        <v>156841</v>
      </c>
      <c r="D20" s="1" t="s">
        <v>14</v>
      </c>
      <c r="E20" s="1">
        <v>90</v>
      </c>
      <c r="F20" s="1">
        <f t="shared" si="0"/>
        <v>93.600000000000009</v>
      </c>
      <c r="G20" s="1">
        <v>96</v>
      </c>
      <c r="H20" s="1" t="s">
        <v>8</v>
      </c>
    </row>
    <row r="21" spans="3:8" x14ac:dyDescent="0.3">
      <c r="C21" s="1">
        <v>156841</v>
      </c>
      <c r="D21" s="1" t="s">
        <v>14</v>
      </c>
      <c r="E21" s="1">
        <v>90</v>
      </c>
      <c r="F21" s="1">
        <f t="shared" si="0"/>
        <v>93.600000000000009</v>
      </c>
      <c r="G21" s="1">
        <v>0</v>
      </c>
      <c r="H21" s="1" t="s">
        <v>9</v>
      </c>
    </row>
    <row r="22" spans="3:8" x14ac:dyDescent="0.3">
      <c r="C22" s="1">
        <v>156841</v>
      </c>
      <c r="D22" s="1" t="s">
        <v>14</v>
      </c>
      <c r="E22" s="1">
        <v>90</v>
      </c>
      <c r="F22" s="1">
        <f t="shared" si="0"/>
        <v>93.600000000000009</v>
      </c>
      <c r="G22" s="1">
        <v>133</v>
      </c>
      <c r="H22" s="1" t="s">
        <v>10</v>
      </c>
    </row>
    <row r="23" spans="3:8" x14ac:dyDescent="0.3">
      <c r="C23" s="1">
        <v>156841</v>
      </c>
      <c r="D23" s="1" t="s">
        <v>14</v>
      </c>
      <c r="E23" s="1">
        <v>90</v>
      </c>
      <c r="F23" s="1">
        <f t="shared" si="0"/>
        <v>93.600000000000009</v>
      </c>
      <c r="G23" s="1">
        <v>0</v>
      </c>
      <c r="H2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373E-6C5A-4EC4-8C4B-858BABCC641E}">
  <dimension ref="B3:D23"/>
  <sheetViews>
    <sheetView workbookViewId="0">
      <selection activeCell="C26" sqref="C26"/>
    </sheetView>
  </sheetViews>
  <sheetFormatPr defaultRowHeight="14.4" x14ac:dyDescent="0.3"/>
  <cols>
    <col min="2" max="2" width="17" bestFit="1" customWidth="1"/>
    <col min="3" max="3" width="13.44140625" bestFit="1" customWidth="1"/>
    <col min="4" max="4" width="45.44140625" bestFit="1" customWidth="1"/>
  </cols>
  <sheetData>
    <row r="3" spans="2:4" x14ac:dyDescent="0.3">
      <c r="B3" t="s">
        <v>1</v>
      </c>
      <c r="C3" t="s">
        <v>2</v>
      </c>
      <c r="D3" t="s">
        <v>5</v>
      </c>
    </row>
    <row r="4" spans="2:4" x14ac:dyDescent="0.3">
      <c r="B4">
        <v>627395</v>
      </c>
      <c r="C4" s="15" t="s">
        <v>0</v>
      </c>
      <c r="D4">
        <v>96.72</v>
      </c>
    </row>
    <row r="5" spans="2:4" x14ac:dyDescent="0.3">
      <c r="B5">
        <v>627395</v>
      </c>
      <c r="C5" s="15" t="s">
        <v>0</v>
      </c>
      <c r="D5">
        <v>96.72</v>
      </c>
    </row>
    <row r="6" spans="2:4" x14ac:dyDescent="0.3">
      <c r="B6">
        <v>627395</v>
      </c>
      <c r="C6" s="15" t="s">
        <v>0</v>
      </c>
      <c r="D6">
        <v>96.72</v>
      </c>
    </row>
    <row r="7" spans="2:4" x14ac:dyDescent="0.3">
      <c r="B7">
        <v>627395</v>
      </c>
      <c r="C7" s="15" t="s">
        <v>0</v>
      </c>
      <c r="D7">
        <v>96.72</v>
      </c>
    </row>
    <row r="8" spans="2:4" x14ac:dyDescent="0.3">
      <c r="B8">
        <v>627395</v>
      </c>
      <c r="C8" s="15" t="s">
        <v>0</v>
      </c>
      <c r="D8">
        <v>96.72</v>
      </c>
    </row>
    <row r="9" spans="2:4" x14ac:dyDescent="0.3">
      <c r="B9">
        <v>666632</v>
      </c>
      <c r="C9" s="15" t="s">
        <v>12</v>
      </c>
      <c r="D9">
        <v>135.20000000000002</v>
      </c>
    </row>
    <row r="10" spans="2:4" x14ac:dyDescent="0.3">
      <c r="B10">
        <v>666632</v>
      </c>
      <c r="C10" s="15" t="s">
        <v>12</v>
      </c>
      <c r="D10">
        <v>135.20000000000002</v>
      </c>
    </row>
    <row r="11" spans="2:4" x14ac:dyDescent="0.3">
      <c r="B11">
        <v>666632</v>
      </c>
      <c r="C11" s="15" t="s">
        <v>12</v>
      </c>
      <c r="D11">
        <v>135.20000000000002</v>
      </c>
    </row>
    <row r="12" spans="2:4" x14ac:dyDescent="0.3">
      <c r="B12">
        <v>666632</v>
      </c>
      <c r="C12" s="15" t="s">
        <v>12</v>
      </c>
      <c r="D12">
        <v>135.20000000000002</v>
      </c>
    </row>
    <row r="13" spans="2:4" x14ac:dyDescent="0.3">
      <c r="B13">
        <v>666632</v>
      </c>
      <c r="C13" s="15" t="s">
        <v>12</v>
      </c>
      <c r="D13">
        <v>135.20000000000002</v>
      </c>
    </row>
    <row r="14" spans="2:4" x14ac:dyDescent="0.3">
      <c r="B14">
        <v>315787</v>
      </c>
      <c r="C14" s="15" t="s">
        <v>13</v>
      </c>
      <c r="D14">
        <v>127.92</v>
      </c>
    </row>
    <row r="15" spans="2:4" x14ac:dyDescent="0.3">
      <c r="B15">
        <v>315787</v>
      </c>
      <c r="C15" s="15" t="s">
        <v>13</v>
      </c>
      <c r="D15">
        <v>127.92</v>
      </c>
    </row>
    <row r="16" spans="2:4" x14ac:dyDescent="0.3">
      <c r="B16">
        <v>315787</v>
      </c>
      <c r="C16" s="15" t="s">
        <v>13</v>
      </c>
      <c r="D16">
        <v>127.92</v>
      </c>
    </row>
    <row r="17" spans="2:4" x14ac:dyDescent="0.3">
      <c r="B17">
        <v>315787</v>
      </c>
      <c r="C17" s="15" t="s">
        <v>13</v>
      </c>
      <c r="D17">
        <v>127.92</v>
      </c>
    </row>
    <row r="18" spans="2:4" x14ac:dyDescent="0.3">
      <c r="B18">
        <v>315787</v>
      </c>
      <c r="C18" s="15" t="s">
        <v>13</v>
      </c>
      <c r="D18">
        <v>127.92</v>
      </c>
    </row>
    <row r="19" spans="2:4" x14ac:dyDescent="0.3">
      <c r="B19">
        <v>156841</v>
      </c>
      <c r="C19" s="15" t="s">
        <v>14</v>
      </c>
      <c r="D19">
        <v>93.600000000000009</v>
      </c>
    </row>
    <row r="20" spans="2:4" x14ac:dyDescent="0.3">
      <c r="B20">
        <v>156841</v>
      </c>
      <c r="C20" s="15" t="s">
        <v>14</v>
      </c>
      <c r="D20">
        <v>93.600000000000009</v>
      </c>
    </row>
    <row r="21" spans="2:4" x14ac:dyDescent="0.3">
      <c r="B21">
        <v>156841</v>
      </c>
      <c r="C21" s="15" t="s">
        <v>14</v>
      </c>
      <c r="D21">
        <v>93.600000000000009</v>
      </c>
    </row>
    <row r="22" spans="2:4" x14ac:dyDescent="0.3">
      <c r="B22">
        <v>156841</v>
      </c>
      <c r="C22" s="15" t="s">
        <v>14</v>
      </c>
      <c r="D22">
        <v>93.600000000000009</v>
      </c>
    </row>
    <row r="23" spans="2:4" x14ac:dyDescent="0.3">
      <c r="B23">
        <v>156841</v>
      </c>
      <c r="C23" s="15" t="s">
        <v>14</v>
      </c>
      <c r="D23">
        <v>93.600000000000009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5466-577A-4A11-80C8-1FBA60216791}">
  <dimension ref="A1:G5"/>
  <sheetViews>
    <sheetView workbookViewId="0">
      <selection activeCell="C11" sqref="C11"/>
    </sheetView>
  </sheetViews>
  <sheetFormatPr defaultRowHeight="14.4" x14ac:dyDescent="0.3"/>
  <cols>
    <col min="1" max="1" width="17" bestFit="1" customWidth="1"/>
    <col min="2" max="2" width="13.44140625" bestFit="1" customWidth="1"/>
    <col min="3" max="3" width="14.88671875" bestFit="1" customWidth="1"/>
    <col min="4" max="4" width="9.21875" bestFit="1" customWidth="1"/>
    <col min="6" max="6" width="11.44140625" bestFit="1" customWidth="1"/>
    <col min="7" max="7" width="10.33203125" bestFit="1" customWidth="1"/>
  </cols>
  <sheetData>
    <row r="1" spans="1:7" x14ac:dyDescent="0.3">
      <c r="A1" t="s">
        <v>1</v>
      </c>
      <c r="B1" t="s">
        <v>2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>
        <v>156841</v>
      </c>
      <c r="B2" s="15" t="s">
        <v>14</v>
      </c>
      <c r="C2">
        <v>0</v>
      </c>
      <c r="D2">
        <v>96</v>
      </c>
      <c r="E2">
        <v>0</v>
      </c>
      <c r="F2">
        <v>133</v>
      </c>
      <c r="G2">
        <v>0</v>
      </c>
    </row>
    <row r="3" spans="1:7" x14ac:dyDescent="0.3">
      <c r="A3">
        <v>315787</v>
      </c>
      <c r="B3" s="15" t="s">
        <v>13</v>
      </c>
      <c r="C3">
        <v>54</v>
      </c>
      <c r="D3">
        <v>0</v>
      </c>
      <c r="E3">
        <v>50</v>
      </c>
      <c r="F3">
        <v>0</v>
      </c>
      <c r="G3">
        <v>146</v>
      </c>
    </row>
    <row r="4" spans="1:7" x14ac:dyDescent="0.3">
      <c r="A4">
        <v>627395</v>
      </c>
      <c r="B4" s="15" t="s">
        <v>0</v>
      </c>
      <c r="C4">
        <v>0</v>
      </c>
      <c r="D4">
        <v>0</v>
      </c>
      <c r="E4">
        <v>129</v>
      </c>
      <c r="F4">
        <v>0</v>
      </c>
      <c r="G4">
        <v>0</v>
      </c>
    </row>
    <row r="5" spans="1:7" x14ac:dyDescent="0.3">
      <c r="A5">
        <v>666632</v>
      </c>
      <c r="B5" s="15" t="s">
        <v>12</v>
      </c>
      <c r="C5">
        <v>90</v>
      </c>
      <c r="D5">
        <v>0</v>
      </c>
      <c r="E5">
        <v>72</v>
      </c>
      <c r="F5">
        <v>0</v>
      </c>
      <c r="G5">
        <v>120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8EEEBF-836E-4E45-AB3C-36446B9CD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Исходные данные</vt:lpstr>
      <vt:lpstr>Задача</vt:lpstr>
      <vt:lpstr>СВОД</vt:lpstr>
      <vt:lpstr>Изменения цен по товарам</vt:lpstr>
      <vt:lpstr>Работа с данными</vt:lpstr>
      <vt:lpstr>Региональные цены</vt:lpstr>
      <vt:lpstr>ГородскиеЦены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 Опришко</cp:lastModifiedBy>
  <dcterms:created xsi:type="dcterms:W3CDTF">2015-06-05T18:19:34Z</dcterms:created>
  <dcterms:modified xsi:type="dcterms:W3CDTF">2026-10-19T19:00:26Z</dcterms:modified>
</cp:coreProperties>
</file>